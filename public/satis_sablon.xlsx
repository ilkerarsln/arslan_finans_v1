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SLAN\Desktop\"/>
    </mc:Choice>
  </mc:AlternateContent>
  <xr:revisionPtr revIDLastSave="0" documentId="8_{A9B741DD-00E3-41E0-BA85-D0E26F500AF2}" xr6:coauthVersionLast="47" xr6:coauthVersionMax="47" xr10:uidLastSave="{00000000-0000-0000-0000-000000000000}"/>
  <bookViews>
    <workbookView xWindow="-195" yWindow="615" windowWidth="26385" windowHeight="14265" xr2:uid="{DD831DC6-EFFF-4C8A-ACB4-5E5EBCF82F2F}"/>
  </bookViews>
  <sheets>
    <sheet name="Sayfa1" sheetId="1" r:id="rId1"/>
    <sheet name="Sayfa2" sheetId="2" r:id="rId2"/>
  </sheets>
  <definedNames>
    <definedName name="Query_from_ModelSql" localSheetId="0">Sayfa1!$A$7:$M$29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G31" i="1"/>
  <c r="F32" i="1"/>
  <c r="F31" i="1"/>
  <c r="E32" i="1"/>
  <c r="E3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2AFF5E-0AC9-4A63-952F-39ADA5BC4A3C}" name="Bağlantı" type="1" refreshedVersion="8">
    <dbPr connection="DRIVER=SQL Server;SERVER=SERVER;UID=YEDEK;APP=Microsoft Excel From Ana32;WSID=SERVER;DATABASE=ARBETUS" command="exec sts_satis_detay_rep @SessionId=129, @ReportId=5, @Analiz=0"/>
  </connection>
</connections>
</file>

<file path=xl/sharedStrings.xml><?xml version="1.0" encoding="utf-8"?>
<sst xmlns="http://schemas.openxmlformats.org/spreadsheetml/2006/main" count="207" uniqueCount="84">
  <si>
    <t>SATIŞ DETAY RAPORU</t>
  </si>
  <si>
    <t>ARSLAN HALI MOBILYA TIC. LTD. ŞTI</t>
  </si>
  <si>
    <t>18/10/2026</t>
  </si>
  <si>
    <t>Satış Tarihi</t>
  </si>
  <si>
    <t>1/10/2026</t>
  </si>
  <si>
    <t>-</t>
  </si>
  <si>
    <t>15/10/2026</t>
  </si>
  <si>
    <t>Satış No</t>
  </si>
  <si>
    <t>Müşteri Adı</t>
  </si>
  <si>
    <t>Ürün Kısa Kodu</t>
  </si>
  <si>
    <t>Miktar</t>
  </si>
  <si>
    <t>Tutar</t>
  </si>
  <si>
    <t>Satır Tutarı</t>
  </si>
  <si>
    <t>Teslim Durumu</t>
  </si>
  <si>
    <t>Satış Özel Kodu</t>
  </si>
  <si>
    <t>Taksit Sayısı</t>
  </si>
  <si>
    <t>Satış Temsilcisi</t>
  </si>
  <si>
    <t>Ürün Grubu</t>
  </si>
  <si>
    <t>AKIN YILMAZ</t>
  </si>
  <si>
    <t>MODAŞ BAZA</t>
  </si>
  <si>
    <t>Tam Teslim</t>
  </si>
  <si>
    <t>KREDİ KARTI</t>
  </si>
  <si>
    <t>İLKER Temsilci 1</t>
  </si>
  <si>
    <t>FİENTO</t>
  </si>
  <si>
    <t>MODAŞ HYPER YATAK</t>
  </si>
  <si>
    <t>NEVZAT EKMEKÇİ</t>
  </si>
  <si>
    <t>USP 2000 GDG SU SEBİLİ</t>
  </si>
  <si>
    <t>SENETLİ SATIŞ</t>
  </si>
  <si>
    <t>UGUR SU ARITMA</t>
  </si>
  <si>
    <t>HARUN DOĞAN</t>
  </si>
  <si>
    <t>ZİGON ORTA</t>
  </si>
  <si>
    <t>SEHPA</t>
  </si>
  <si>
    <t>RESUL BOZKURT</t>
  </si>
  <si>
    <t>AL 411 E ÇEKMECELİ DERİN DONDURUCU</t>
  </si>
  <si>
    <t>ALTUS ÇEKMECELİ DERİN DONDURUCU</t>
  </si>
  <si>
    <t>FAKİR AİRFRY</t>
  </si>
  <si>
    <t>Sevk</t>
  </si>
  <si>
    <t>MUHTELİF KEA</t>
  </si>
  <si>
    <t>MÜJDAT TURAN</t>
  </si>
  <si>
    <t>UED 7266 DTK R65 UGUR CEKMECELİ DONDURUCU</t>
  </si>
  <si>
    <t>PEŞİN SATIŞ</t>
  </si>
  <si>
    <t>ÜMİT Temsilci 2</t>
  </si>
  <si>
    <t>UGUR CEKMECELİ DONDURUCU</t>
  </si>
  <si>
    <t>MURAT BURSA</t>
  </si>
  <si>
    <t>ELMA SANDALYE BULUT</t>
  </si>
  <si>
    <t>BULUT AKSESUAR</t>
  </si>
  <si>
    <t>MASA ANKARA</t>
  </si>
  <si>
    <t>MASA SANDALYE</t>
  </si>
  <si>
    <t>STORY KANEPE</t>
  </si>
  <si>
    <t>AYTASHOME</t>
  </si>
  <si>
    <t>AYTAŞ KOLTUK TK</t>
  </si>
  <si>
    <t>MİNE DEMİRAĞ</t>
  </si>
  <si>
    <t>ÇAY SETİ</t>
  </si>
  <si>
    <t>EMRAH KAPANŞAHİN</t>
  </si>
  <si>
    <t>AL KM 1054 ISI POMPALI KURUTMA</t>
  </si>
  <si>
    <t>ALTUS ISI POMPALI KURUTMA MAKİNELERİ</t>
  </si>
  <si>
    <t>SEVAL ERTAN</t>
  </si>
  <si>
    <t>YÜRÜYEN SEHPA DEVREK</t>
  </si>
  <si>
    <t>MEHMET ÇETİNKAYA</t>
  </si>
  <si>
    <t>KELEBEK KÜTÜK MASA 70X110</t>
  </si>
  <si>
    <t>AHMET ÖZKAN</t>
  </si>
  <si>
    <t>ALA 322 W ALTUS ANKASTRE FIRINLAR</t>
  </si>
  <si>
    <t>ALTUS ANKASTRE FIRINLAR</t>
  </si>
  <si>
    <t>AL 434 P  ALTUS BULAŞIK MAKİNELERİ</t>
  </si>
  <si>
    <t>ALTUS BULAŞIK MAKİNELERİ</t>
  </si>
  <si>
    <t>İDRİS DURSUN</t>
  </si>
  <si>
    <t>ARNİCA PROKİT 444 PLUS ROBOT</t>
  </si>
  <si>
    <t>AHMET GÜNEŞ</t>
  </si>
  <si>
    <t>AL CM 101254 D ÇAMAŞIR MAKİNESİ</t>
  </si>
  <si>
    <t>ALTUS ÇAMAŞIR MAKİNELERİ</t>
  </si>
  <si>
    <t>TOLGA ARABACI</t>
  </si>
  <si>
    <t>MİMOZA YATAK 160X200 BEDLİFE</t>
  </si>
  <si>
    <t>BEDLIFE CIBO</t>
  </si>
  <si>
    <t>HATİCE YAVUZ</t>
  </si>
  <si>
    <t>SERAP CAN</t>
  </si>
  <si>
    <t>ŞAMDAN MİNİ FIRIN</t>
  </si>
  <si>
    <t>İPTAL TOPLAM</t>
  </si>
  <si>
    <t>GENEL TOPLAM</t>
  </si>
  <si>
    <t>Tarih</t>
  </si>
  <si>
    <t>Sağa Dayalı</t>
  </si>
  <si>
    <t>Sayı</t>
  </si>
  <si>
    <t>Metin</t>
  </si>
  <si>
    <t>Sola Dayalı</t>
  </si>
  <si>
    <t>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</si>
</sst>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1" fillId="0" borderId="1" xfId="0" applyNumberFormat="1" applyFont="1" applyBorder="1"/>
    <xf numFmtId="0" fontId="0" fillId="0" borderId="0" xfId="0" applyFill="1"/>
    <xf numFmtId="164" fontId="0" fillId="0" borderId="0" xfId="0" applyNumberFormat="1"/>
    <xf numFmtId="164" fontId="1" fillId="0" borderId="0" xfId="0" applyNumberFormat="1" applyFont="1"/>
    <xf numFmtId="164" fontId="1" fillId="0" borderId="1" xfId="0" applyNumberFormat="1" applyFont="1" applyBorder="1"/>
    <xf numFmtId="164" fontId="0" fillId="0" borderId="0" xfId="0" applyNumberFormat="1" applyFill="1"/>
    <xf numFmtId="4" fontId="0" fillId="0" borderId="0" xfId="0" applyNumberFormat="1"/>
    <xf numFmtId="4" fontId="1" fillId="0" borderId="1" xfId="0" applyNumberFormat="1" applyFont="1" applyBorder="1"/>
    <xf numFmtId="4" fontId="0" fillId="0" borderId="0" xfId="0" applyNumberFormat="1" applyFill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ModelSql" headers="0" backgroundRefresh="0" removeDataOnSave="1" preserveFormatting="0" connectionId="1" xr16:uid="{7599C351-E278-403D-AEF0-B9C3AF0F0E89}" autoFormatId="0" applyNumberFormats="0" applyBorderFormats="0" applyFontFormats="1" applyPatternFormats="1" applyAlignmentFormats="0" applyWidthHeightFormats="0">
  <queryTableRefresh headersInLastRefresh="0" nextId="14">
    <queryTableFields count="13">
      <queryTableField id="1" name="satis_tarihi"/>
      <queryTableField id="2" name="satis_no"/>
      <queryTableField id="3" name="unvan"/>
      <queryTableField id="4" name="malzeme_kisa_kodu"/>
      <queryTableField id="5" name="Miktar"/>
      <queryTableField id="6" name="Tutar"/>
      <queryTableField id="7" name="satir_tutari"/>
      <queryTableField id="8" name="teslim_asama"/>
      <queryTableField id="9" name="ozel_kod_satis"/>
      <queryTableField id="10" name="taksit_sayisi"/>
      <queryTableField id="11" name="satis_temsilci"/>
      <queryTableField id="12" name="malzeme_sinifi_adi"/>
      <queryTableField id="13" name="islem_tipi"/>
    </queryTableFields>
  </queryTableRefresh>
</query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AADD2-0084-477B-96F3-854D0330ACC4}">
  <dimension ref="A1:M32"/>
  <sheetViews>
    <sheetView tabSelected="1" workbookViewId="0">
      <selection activeCell="J29" sqref="J29"/>
    </sheetView>
  </sheetViews>
  <sheetFormatPr defaultRowHeight="15" x14ac:dyDescent="0.25"/>
  <cols>
    <col min="1" max="1" width="31.7109375" style="6" bestFit="1" customWidth="1"/>
    <col min="2" max="2" width="9.42578125" style="10" bestFit="1" customWidth="1"/>
    <col min="3" max="3" width="19.28515625" bestFit="1" customWidth="1"/>
    <col min="4" max="4" width="44.85546875" bestFit="1" customWidth="1"/>
    <col min="5" max="5" width="6.5703125" style="10" bestFit="1" customWidth="1"/>
    <col min="6" max="6" width="10.140625" style="10" bestFit="1" customWidth="1"/>
    <col min="7" max="7" width="10.7109375" style="10" bestFit="1" customWidth="1"/>
    <col min="8" max="8" width="14.85546875" bestFit="1" customWidth="1"/>
    <col min="9" max="9" width="15" bestFit="1" customWidth="1"/>
    <col min="10" max="10" width="12" style="10" bestFit="1" customWidth="1"/>
    <col min="11" max="11" width="15.140625" bestFit="1" customWidth="1"/>
    <col min="12" max="12" width="38" bestFit="1" customWidth="1"/>
    <col min="13" max="13" width="2" hidden="1" customWidth="1"/>
  </cols>
  <sheetData>
    <row r="1" spans="1:13" x14ac:dyDescent="0.25">
      <c r="D1" s="2" t="s">
        <v>0</v>
      </c>
    </row>
    <row r="2" spans="1:13" x14ac:dyDescent="0.25">
      <c r="A2" s="6" t="s">
        <v>1</v>
      </c>
    </row>
    <row r="3" spans="1:13" x14ac:dyDescent="0.25">
      <c r="A3" s="6" t="s">
        <v>2</v>
      </c>
    </row>
    <row r="4" spans="1:13" x14ac:dyDescent="0.25">
      <c r="A4" s="7" t="s">
        <v>3</v>
      </c>
      <c r="B4" s="10" t="s">
        <v>4</v>
      </c>
      <c r="C4" s="1" t="s">
        <v>5</v>
      </c>
      <c r="D4" s="1" t="s">
        <v>6</v>
      </c>
    </row>
    <row r="6" spans="1:13" x14ac:dyDescent="0.25">
      <c r="A6" s="8" t="s">
        <v>3</v>
      </c>
      <c r="B6" s="11" t="s">
        <v>7</v>
      </c>
      <c r="C6" s="4" t="s">
        <v>8</v>
      </c>
      <c r="D6" s="4" t="s">
        <v>9</v>
      </c>
      <c r="E6" s="11" t="s">
        <v>10</v>
      </c>
      <c r="F6" s="11" t="s">
        <v>11</v>
      </c>
      <c r="G6" s="11" t="s">
        <v>12</v>
      </c>
      <c r="H6" s="4" t="s">
        <v>13</v>
      </c>
      <c r="I6" s="4" t="s">
        <v>14</v>
      </c>
      <c r="J6" s="11" t="s">
        <v>15</v>
      </c>
      <c r="K6" s="4" t="s">
        <v>16</v>
      </c>
      <c r="L6" s="4" t="s">
        <v>17</v>
      </c>
      <c r="M6" s="3"/>
    </row>
    <row r="7" spans="1:13" x14ac:dyDescent="0.25">
      <c r="A7" s="9">
        <v>46296</v>
      </c>
      <c r="B7" s="12">
        <v>1766</v>
      </c>
      <c r="C7" s="5" t="s">
        <v>18</v>
      </c>
      <c r="D7" s="5" t="s">
        <v>19</v>
      </c>
      <c r="E7" s="12">
        <v>1</v>
      </c>
      <c r="F7" s="12">
        <v>7500</v>
      </c>
      <c r="G7" s="12">
        <v>7500</v>
      </c>
      <c r="H7" s="5" t="s">
        <v>20</v>
      </c>
      <c r="I7" s="5" t="s">
        <v>21</v>
      </c>
      <c r="J7" s="12">
        <v>1</v>
      </c>
      <c r="K7" s="5" t="s">
        <v>22</v>
      </c>
      <c r="L7" s="5" t="s">
        <v>23</v>
      </c>
      <c r="M7" s="5">
        <v>0</v>
      </c>
    </row>
    <row r="8" spans="1:13" x14ac:dyDescent="0.25">
      <c r="A8" s="9">
        <v>46296</v>
      </c>
      <c r="B8" s="12">
        <v>1766</v>
      </c>
      <c r="C8" s="5" t="s">
        <v>18</v>
      </c>
      <c r="D8" s="5" t="s">
        <v>24</v>
      </c>
      <c r="E8" s="12">
        <v>1</v>
      </c>
      <c r="F8" s="12">
        <v>10000</v>
      </c>
      <c r="G8" s="12">
        <v>10000</v>
      </c>
      <c r="H8" s="5" t="s">
        <v>20</v>
      </c>
      <c r="I8" s="5" t="s">
        <v>21</v>
      </c>
      <c r="J8" s="12">
        <v>1</v>
      </c>
      <c r="K8" s="5" t="s">
        <v>22</v>
      </c>
      <c r="L8" s="5" t="s">
        <v>23</v>
      </c>
      <c r="M8" s="5">
        <v>0</v>
      </c>
    </row>
    <row r="9" spans="1:13" x14ac:dyDescent="0.25">
      <c r="A9" s="9">
        <v>46297</v>
      </c>
      <c r="B9" s="12">
        <v>1768</v>
      </c>
      <c r="C9" s="5" t="s">
        <v>25</v>
      </c>
      <c r="D9" s="5" t="s">
        <v>26</v>
      </c>
      <c r="E9" s="12">
        <v>1</v>
      </c>
      <c r="F9" s="12">
        <v>15000</v>
      </c>
      <c r="G9" s="12">
        <v>15000</v>
      </c>
      <c r="H9" s="5" t="s">
        <v>20</v>
      </c>
      <c r="I9" s="5" t="s">
        <v>27</v>
      </c>
      <c r="J9" s="12">
        <v>1</v>
      </c>
      <c r="K9" s="5" t="s">
        <v>22</v>
      </c>
      <c r="L9" s="5" t="s">
        <v>28</v>
      </c>
      <c r="M9" s="5">
        <v>0</v>
      </c>
    </row>
    <row r="10" spans="1:13" x14ac:dyDescent="0.25">
      <c r="A10" s="9">
        <v>46297</v>
      </c>
      <c r="B10" s="12">
        <v>1769</v>
      </c>
      <c r="C10" s="5" t="s">
        <v>29</v>
      </c>
      <c r="D10" s="5" t="s">
        <v>30</v>
      </c>
      <c r="E10" s="12">
        <v>1</v>
      </c>
      <c r="F10" s="12">
        <v>6000</v>
      </c>
      <c r="G10" s="12">
        <v>6000</v>
      </c>
      <c r="H10" s="5" t="s">
        <v>20</v>
      </c>
      <c r="I10" s="5" t="s">
        <v>27</v>
      </c>
      <c r="J10" s="12">
        <v>1</v>
      </c>
      <c r="K10" s="5" t="s">
        <v>22</v>
      </c>
      <c r="L10" s="5" t="s">
        <v>31</v>
      </c>
      <c r="M10" s="5">
        <v>0</v>
      </c>
    </row>
    <row r="11" spans="1:13" x14ac:dyDescent="0.25">
      <c r="A11" s="9">
        <v>46297</v>
      </c>
      <c r="B11" s="12">
        <v>1770</v>
      </c>
      <c r="C11" s="5" t="s">
        <v>32</v>
      </c>
      <c r="D11" s="5" t="s">
        <v>33</v>
      </c>
      <c r="E11" s="12">
        <v>1</v>
      </c>
      <c r="F11" s="12">
        <v>25000</v>
      </c>
      <c r="G11" s="12">
        <v>25000</v>
      </c>
      <c r="H11" s="5" t="s">
        <v>20</v>
      </c>
      <c r="I11" s="5" t="s">
        <v>27</v>
      </c>
      <c r="J11" s="12">
        <v>1</v>
      </c>
      <c r="K11" s="5" t="s">
        <v>22</v>
      </c>
      <c r="L11" s="5" t="s">
        <v>34</v>
      </c>
      <c r="M11" s="5">
        <v>0</v>
      </c>
    </row>
    <row r="12" spans="1:13" x14ac:dyDescent="0.25">
      <c r="A12" s="9">
        <v>46297</v>
      </c>
      <c r="B12" s="12">
        <v>1770</v>
      </c>
      <c r="C12" s="5" t="s">
        <v>32</v>
      </c>
      <c r="D12" s="5" t="s">
        <v>35</v>
      </c>
      <c r="E12" s="12">
        <v>1</v>
      </c>
      <c r="F12" s="12">
        <v>4000</v>
      </c>
      <c r="G12" s="12">
        <v>4000</v>
      </c>
      <c r="H12" s="5" t="s">
        <v>36</v>
      </c>
      <c r="I12" s="5" t="s">
        <v>27</v>
      </c>
      <c r="J12" s="12">
        <v>1</v>
      </c>
      <c r="K12" s="5" t="s">
        <v>22</v>
      </c>
      <c r="L12" s="5" t="s">
        <v>37</v>
      </c>
      <c r="M12" s="5">
        <v>0</v>
      </c>
    </row>
    <row r="13" spans="1:13" x14ac:dyDescent="0.25">
      <c r="A13" s="9">
        <v>46298</v>
      </c>
      <c r="B13" s="12">
        <v>1771</v>
      </c>
      <c r="C13" s="5" t="s">
        <v>38</v>
      </c>
      <c r="D13" s="5" t="s">
        <v>39</v>
      </c>
      <c r="E13" s="12">
        <v>1</v>
      </c>
      <c r="F13" s="12">
        <v>35000</v>
      </c>
      <c r="G13" s="12">
        <v>35000</v>
      </c>
      <c r="H13" s="5" t="s">
        <v>20</v>
      </c>
      <c r="I13" s="5" t="s">
        <v>40</v>
      </c>
      <c r="J13" s="12">
        <v>1</v>
      </c>
      <c r="K13" s="5" t="s">
        <v>41</v>
      </c>
      <c r="L13" s="5" t="s">
        <v>42</v>
      </c>
      <c r="M13" s="5">
        <v>0</v>
      </c>
    </row>
    <row r="14" spans="1:13" x14ac:dyDescent="0.25">
      <c r="A14" s="9">
        <v>46298</v>
      </c>
      <c r="B14" s="12">
        <v>1772</v>
      </c>
      <c r="C14" s="5" t="s">
        <v>43</v>
      </c>
      <c r="D14" s="5" t="s">
        <v>44</v>
      </c>
      <c r="E14" s="12">
        <v>4</v>
      </c>
      <c r="F14" s="12">
        <v>10000</v>
      </c>
      <c r="G14" s="12">
        <v>10000</v>
      </c>
      <c r="H14" s="5" t="s">
        <v>20</v>
      </c>
      <c r="I14" s="5" t="s">
        <v>21</v>
      </c>
      <c r="J14" s="12">
        <v>1</v>
      </c>
      <c r="K14" s="5" t="s">
        <v>22</v>
      </c>
      <c r="L14" s="5" t="s">
        <v>45</v>
      </c>
      <c r="M14" s="5">
        <v>0</v>
      </c>
    </row>
    <row r="15" spans="1:13" x14ac:dyDescent="0.25">
      <c r="A15" s="9">
        <v>46298</v>
      </c>
      <c r="B15" s="12">
        <v>1772</v>
      </c>
      <c r="C15" s="5" t="s">
        <v>43</v>
      </c>
      <c r="D15" s="5" t="s">
        <v>46</v>
      </c>
      <c r="E15" s="12">
        <v>1</v>
      </c>
      <c r="F15" s="12">
        <v>11000</v>
      </c>
      <c r="G15" s="12">
        <v>11000</v>
      </c>
      <c r="H15" s="5" t="s">
        <v>20</v>
      </c>
      <c r="I15" s="5" t="s">
        <v>21</v>
      </c>
      <c r="J15" s="12">
        <v>1</v>
      </c>
      <c r="K15" s="5" t="s">
        <v>22</v>
      </c>
      <c r="L15" s="5" t="s">
        <v>47</v>
      </c>
      <c r="M15" s="5">
        <v>0</v>
      </c>
    </row>
    <row r="16" spans="1:13" x14ac:dyDescent="0.25">
      <c r="A16" s="9">
        <v>46298</v>
      </c>
      <c r="B16" s="12">
        <v>1772</v>
      </c>
      <c r="C16" s="5" t="s">
        <v>43</v>
      </c>
      <c r="D16" s="5" t="s">
        <v>48</v>
      </c>
      <c r="E16" s="12">
        <v>1</v>
      </c>
      <c r="F16" s="12">
        <v>14000</v>
      </c>
      <c r="G16" s="12">
        <v>14000</v>
      </c>
      <c r="H16" s="5" t="s">
        <v>20</v>
      </c>
      <c r="I16" s="5" t="s">
        <v>21</v>
      </c>
      <c r="J16" s="12">
        <v>1</v>
      </c>
      <c r="K16" s="5" t="s">
        <v>22</v>
      </c>
      <c r="L16" s="5" t="s">
        <v>49</v>
      </c>
      <c r="M16" s="5">
        <v>0</v>
      </c>
    </row>
    <row r="17" spans="1:13" x14ac:dyDescent="0.25">
      <c r="A17" s="9">
        <v>46298</v>
      </c>
      <c r="B17" s="12">
        <v>1772</v>
      </c>
      <c r="C17" s="5" t="s">
        <v>43</v>
      </c>
      <c r="D17" s="5" t="s">
        <v>50</v>
      </c>
      <c r="E17" s="12">
        <v>1</v>
      </c>
      <c r="F17" s="12">
        <v>55000</v>
      </c>
      <c r="G17" s="12">
        <v>55000</v>
      </c>
      <c r="H17" s="5" t="s">
        <v>20</v>
      </c>
      <c r="I17" s="5" t="s">
        <v>21</v>
      </c>
      <c r="J17" s="12">
        <v>1</v>
      </c>
      <c r="K17" s="5" t="s">
        <v>22</v>
      </c>
      <c r="L17" s="5" t="s">
        <v>49</v>
      </c>
      <c r="M17" s="5">
        <v>0</v>
      </c>
    </row>
    <row r="18" spans="1:13" x14ac:dyDescent="0.25">
      <c r="A18" s="9">
        <v>46298</v>
      </c>
      <c r="B18" s="12">
        <v>1779</v>
      </c>
      <c r="C18" s="5" t="s">
        <v>51</v>
      </c>
      <c r="D18" s="5" t="s">
        <v>52</v>
      </c>
      <c r="E18" s="12">
        <v>1</v>
      </c>
      <c r="F18" s="12">
        <v>20000</v>
      </c>
      <c r="G18" s="12">
        <v>20000</v>
      </c>
      <c r="H18" s="5" t="s">
        <v>20</v>
      </c>
      <c r="I18" s="5" t="s">
        <v>21</v>
      </c>
      <c r="J18" s="12">
        <v>1</v>
      </c>
      <c r="K18" s="5" t="s">
        <v>22</v>
      </c>
      <c r="L18" s="5" t="s">
        <v>47</v>
      </c>
      <c r="M18" s="5">
        <v>0</v>
      </c>
    </row>
    <row r="19" spans="1:13" x14ac:dyDescent="0.25">
      <c r="A19" s="9">
        <v>46301</v>
      </c>
      <c r="B19" s="12">
        <v>1780</v>
      </c>
      <c r="C19" s="5" t="s">
        <v>53</v>
      </c>
      <c r="D19" s="5" t="s">
        <v>54</v>
      </c>
      <c r="E19" s="12">
        <v>1</v>
      </c>
      <c r="F19" s="12">
        <v>26500</v>
      </c>
      <c r="G19" s="12">
        <v>26500</v>
      </c>
      <c r="H19" s="5" t="s">
        <v>20</v>
      </c>
      <c r="I19" s="5" t="s">
        <v>21</v>
      </c>
      <c r="J19" s="12">
        <v>1</v>
      </c>
      <c r="K19" s="5" t="s">
        <v>22</v>
      </c>
      <c r="L19" s="5" t="s">
        <v>55</v>
      </c>
      <c r="M19" s="5">
        <v>0</v>
      </c>
    </row>
    <row r="20" spans="1:13" x14ac:dyDescent="0.25">
      <c r="A20" s="9">
        <v>46301</v>
      </c>
      <c r="B20" s="12">
        <v>1781</v>
      </c>
      <c r="C20" s="5" t="s">
        <v>56</v>
      </c>
      <c r="D20" s="5" t="s">
        <v>57</v>
      </c>
      <c r="E20" s="12">
        <v>1</v>
      </c>
      <c r="F20" s="12">
        <v>3000</v>
      </c>
      <c r="G20" s="12">
        <v>3000</v>
      </c>
      <c r="H20" s="5" t="s">
        <v>20</v>
      </c>
      <c r="I20" s="5" t="s">
        <v>27</v>
      </c>
      <c r="J20" s="12">
        <v>1</v>
      </c>
      <c r="K20" s="5" t="s">
        <v>41</v>
      </c>
      <c r="L20" s="5" t="s">
        <v>31</v>
      </c>
      <c r="M20" s="5">
        <v>0</v>
      </c>
    </row>
    <row r="21" spans="1:13" x14ac:dyDescent="0.25">
      <c r="A21" s="9">
        <v>46301</v>
      </c>
      <c r="B21" s="12">
        <v>1782</v>
      </c>
      <c r="C21" s="5" t="s">
        <v>58</v>
      </c>
      <c r="D21" s="5" t="s">
        <v>30</v>
      </c>
      <c r="E21" s="12">
        <v>1</v>
      </c>
      <c r="F21" s="12">
        <v>4000</v>
      </c>
      <c r="G21" s="12">
        <v>4000</v>
      </c>
      <c r="H21" s="5" t="s">
        <v>20</v>
      </c>
      <c r="I21" s="5" t="s">
        <v>21</v>
      </c>
      <c r="J21" s="12">
        <v>1</v>
      </c>
      <c r="K21" s="5" t="s">
        <v>41</v>
      </c>
      <c r="L21" s="5" t="s">
        <v>31</v>
      </c>
      <c r="M21" s="5">
        <v>0</v>
      </c>
    </row>
    <row r="22" spans="1:13" x14ac:dyDescent="0.25">
      <c r="A22" s="9">
        <v>46301</v>
      </c>
      <c r="B22" s="12">
        <v>1782</v>
      </c>
      <c r="C22" s="5" t="s">
        <v>58</v>
      </c>
      <c r="D22" s="5" t="s">
        <v>59</v>
      </c>
      <c r="E22" s="12">
        <v>1</v>
      </c>
      <c r="F22" s="12">
        <v>13000</v>
      </c>
      <c r="G22" s="12">
        <v>13000</v>
      </c>
      <c r="H22" s="5" t="s">
        <v>20</v>
      </c>
      <c r="I22" s="5" t="s">
        <v>21</v>
      </c>
      <c r="J22" s="12">
        <v>1</v>
      </c>
      <c r="K22" s="5" t="s">
        <v>41</v>
      </c>
      <c r="L22" s="5" t="s">
        <v>45</v>
      </c>
      <c r="M22" s="5">
        <v>0</v>
      </c>
    </row>
    <row r="23" spans="1:13" x14ac:dyDescent="0.25">
      <c r="A23" s="9">
        <v>46302</v>
      </c>
      <c r="B23" s="12">
        <v>1783</v>
      </c>
      <c r="C23" s="5" t="s">
        <v>60</v>
      </c>
      <c r="D23" s="5" t="s">
        <v>61</v>
      </c>
      <c r="E23" s="12">
        <v>1</v>
      </c>
      <c r="F23" s="12">
        <v>19500</v>
      </c>
      <c r="G23" s="12">
        <v>19500</v>
      </c>
      <c r="H23" s="5" t="s">
        <v>20</v>
      </c>
      <c r="I23" s="5" t="s">
        <v>21</v>
      </c>
      <c r="J23" s="12">
        <v>1</v>
      </c>
      <c r="K23" s="5" t="s">
        <v>41</v>
      </c>
      <c r="L23" s="5" t="s">
        <v>62</v>
      </c>
      <c r="M23" s="5">
        <v>0</v>
      </c>
    </row>
    <row r="24" spans="1:13" x14ac:dyDescent="0.25">
      <c r="A24" s="9">
        <v>46302</v>
      </c>
      <c r="B24" s="12">
        <v>1783</v>
      </c>
      <c r="C24" s="5" t="s">
        <v>60</v>
      </c>
      <c r="D24" s="5" t="s">
        <v>63</v>
      </c>
      <c r="E24" s="12">
        <v>1</v>
      </c>
      <c r="F24" s="12">
        <v>24000</v>
      </c>
      <c r="G24" s="12">
        <v>24000</v>
      </c>
      <c r="H24" s="5" t="s">
        <v>20</v>
      </c>
      <c r="I24" s="5" t="s">
        <v>21</v>
      </c>
      <c r="J24" s="12">
        <v>1</v>
      </c>
      <c r="K24" s="5" t="s">
        <v>41</v>
      </c>
      <c r="L24" s="5" t="s">
        <v>64</v>
      </c>
      <c r="M24" s="5">
        <v>0</v>
      </c>
    </row>
    <row r="25" spans="1:13" x14ac:dyDescent="0.25">
      <c r="A25" s="9">
        <v>46303</v>
      </c>
      <c r="B25" s="12">
        <v>1784</v>
      </c>
      <c r="C25" s="5" t="s">
        <v>65</v>
      </c>
      <c r="D25" s="5" t="s">
        <v>66</v>
      </c>
      <c r="E25" s="12">
        <v>1</v>
      </c>
      <c r="F25" s="12">
        <v>7000</v>
      </c>
      <c r="G25" s="12">
        <v>7000</v>
      </c>
      <c r="H25" s="5" t="s">
        <v>20</v>
      </c>
      <c r="I25" s="5" t="s">
        <v>27</v>
      </c>
      <c r="J25" s="12">
        <v>1</v>
      </c>
      <c r="K25" s="5" t="s">
        <v>22</v>
      </c>
      <c r="L25" s="5" t="s">
        <v>37</v>
      </c>
      <c r="M25" s="5">
        <v>0</v>
      </c>
    </row>
    <row r="26" spans="1:13" x14ac:dyDescent="0.25">
      <c r="A26" s="9">
        <v>46304</v>
      </c>
      <c r="B26" s="12">
        <v>1785</v>
      </c>
      <c r="C26" s="5" t="s">
        <v>67</v>
      </c>
      <c r="D26" s="5" t="s">
        <v>68</v>
      </c>
      <c r="E26" s="12">
        <v>1</v>
      </c>
      <c r="F26" s="12">
        <v>35000</v>
      </c>
      <c r="G26" s="12">
        <v>35000</v>
      </c>
      <c r="H26" s="5" t="s">
        <v>20</v>
      </c>
      <c r="I26" s="5" t="s">
        <v>27</v>
      </c>
      <c r="J26" s="12">
        <v>1</v>
      </c>
      <c r="K26" s="5" t="s">
        <v>22</v>
      </c>
      <c r="L26" s="5" t="s">
        <v>69</v>
      </c>
      <c r="M26" s="5">
        <v>0</v>
      </c>
    </row>
    <row r="27" spans="1:13" x14ac:dyDescent="0.25">
      <c r="A27" s="9">
        <v>46305</v>
      </c>
      <c r="B27" s="12">
        <v>1786</v>
      </c>
      <c r="C27" s="5" t="s">
        <v>70</v>
      </c>
      <c r="D27" s="5" t="s">
        <v>71</v>
      </c>
      <c r="E27" s="12">
        <v>1</v>
      </c>
      <c r="F27" s="12">
        <v>10000</v>
      </c>
      <c r="G27" s="12">
        <v>10000</v>
      </c>
      <c r="H27" s="5" t="s">
        <v>20</v>
      </c>
      <c r="I27" s="5" t="s">
        <v>21</v>
      </c>
      <c r="J27" s="12">
        <v>1</v>
      </c>
      <c r="K27" s="5" t="s">
        <v>22</v>
      </c>
      <c r="L27" s="5" t="s">
        <v>72</v>
      </c>
      <c r="M27" s="5">
        <v>0</v>
      </c>
    </row>
    <row r="28" spans="1:13" x14ac:dyDescent="0.25">
      <c r="A28" s="9">
        <v>46307</v>
      </c>
      <c r="B28" s="12">
        <v>1787</v>
      </c>
      <c r="C28" s="5" t="s">
        <v>73</v>
      </c>
      <c r="D28" s="5" t="s">
        <v>52</v>
      </c>
      <c r="E28" s="12">
        <v>1</v>
      </c>
      <c r="F28" s="12">
        <v>20000</v>
      </c>
      <c r="G28" s="12">
        <v>20000</v>
      </c>
      <c r="H28" s="5" t="s">
        <v>20</v>
      </c>
      <c r="I28" s="5" t="s">
        <v>27</v>
      </c>
      <c r="J28" s="12">
        <v>1</v>
      </c>
      <c r="K28" s="5" t="s">
        <v>22</v>
      </c>
      <c r="L28" s="5" t="s">
        <v>47</v>
      </c>
      <c r="M28" s="5">
        <v>0</v>
      </c>
    </row>
    <row r="29" spans="1:13" x14ac:dyDescent="0.25">
      <c r="A29" s="9">
        <v>46308</v>
      </c>
      <c r="B29" s="12">
        <v>1788</v>
      </c>
      <c r="C29" s="5" t="s">
        <v>74</v>
      </c>
      <c r="D29" s="5" t="s">
        <v>75</v>
      </c>
      <c r="E29" s="12">
        <v>1</v>
      </c>
      <c r="F29" s="12">
        <v>7500</v>
      </c>
      <c r="G29" s="12">
        <v>7500</v>
      </c>
      <c r="H29" s="5" t="s">
        <v>20</v>
      </c>
      <c r="I29" s="5" t="s">
        <v>27</v>
      </c>
      <c r="J29" s="12">
        <v>1</v>
      </c>
      <c r="K29" s="5" t="s">
        <v>22</v>
      </c>
      <c r="L29" s="5" t="s">
        <v>37</v>
      </c>
      <c r="M29" s="5">
        <v>0</v>
      </c>
    </row>
    <row r="31" spans="1:13" x14ac:dyDescent="0.25">
      <c r="A31" s="7"/>
      <c r="B31" s="13"/>
      <c r="C31" s="3"/>
      <c r="D31" s="3" t="s">
        <v>76</v>
      </c>
      <c r="E31" s="13">
        <f>SUMIF(M:M,1,E:E)</f>
        <v>0</v>
      </c>
      <c r="F31" s="13">
        <f>SUMIF(M:M,1,F:F)</f>
        <v>0</v>
      </c>
      <c r="G31" s="13">
        <f>SUMIF(M:M,1,G:G)</f>
        <v>0</v>
      </c>
      <c r="H31" s="3"/>
      <c r="I31" s="3"/>
      <c r="J31" s="13"/>
      <c r="K31" s="3"/>
      <c r="L31" s="3"/>
    </row>
    <row r="32" spans="1:13" x14ac:dyDescent="0.25">
      <c r="A32" s="7"/>
      <c r="B32" s="13"/>
      <c r="C32" s="3"/>
      <c r="D32" s="3" t="s">
        <v>77</v>
      </c>
      <c r="E32" s="13">
        <f>SUM(E7:E30)</f>
        <v>26</v>
      </c>
      <c r="F32" s="13">
        <f>SUM(F7:F30)</f>
        <v>382000</v>
      </c>
      <c r="G32" s="13">
        <f>SUM(G7:G30)</f>
        <v>382000</v>
      </c>
      <c r="H32" s="3"/>
      <c r="I32" s="3"/>
      <c r="J32" s="13"/>
      <c r="K32" s="3"/>
      <c r="L3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D7536-C5C0-43FB-A050-1AA06DA132CD}">
  <dimension ref="A1:E12"/>
  <sheetViews>
    <sheetView workbookViewId="0">
      <selection activeCell="D17" sqref="D17"/>
    </sheetView>
  </sheetViews>
  <sheetFormatPr defaultRowHeight="15" x14ac:dyDescent="0.25"/>
  <cols>
    <col min="1" max="2" width="14.85546875" bestFit="1" customWidth="1"/>
    <col min="3" max="3" width="3" bestFit="1" customWidth="1"/>
    <col min="4" max="4" width="5.85546875" bestFit="1" customWidth="1"/>
    <col min="5" max="5" width="11.28515625" bestFit="1" customWidth="1"/>
  </cols>
  <sheetData>
    <row r="1" spans="1:5" x14ac:dyDescent="0.25">
      <c r="A1" t="s">
        <v>3</v>
      </c>
      <c r="B1" t="s">
        <v>3</v>
      </c>
      <c r="C1">
        <v>10</v>
      </c>
      <c r="D1" t="s">
        <v>78</v>
      </c>
      <c r="E1" t="s">
        <v>79</v>
      </c>
    </row>
    <row r="2" spans="1:5" x14ac:dyDescent="0.25">
      <c r="A2" t="s">
        <v>7</v>
      </c>
      <c r="B2" t="s">
        <v>7</v>
      </c>
      <c r="C2">
        <v>10</v>
      </c>
      <c r="D2" t="s">
        <v>80</v>
      </c>
      <c r="E2" t="s">
        <v>79</v>
      </c>
    </row>
    <row r="3" spans="1:5" x14ac:dyDescent="0.25">
      <c r="A3" t="s">
        <v>8</v>
      </c>
      <c r="B3" t="s">
        <v>8</v>
      </c>
      <c r="C3">
        <v>15</v>
      </c>
      <c r="D3" t="s">
        <v>81</v>
      </c>
      <c r="E3" t="s">
        <v>82</v>
      </c>
    </row>
    <row r="4" spans="1:5" x14ac:dyDescent="0.25">
      <c r="A4" t="s">
        <v>9</v>
      </c>
      <c r="B4" t="s">
        <v>9</v>
      </c>
      <c r="C4">
        <v>10</v>
      </c>
      <c r="D4" t="s">
        <v>81</v>
      </c>
      <c r="E4" t="s">
        <v>82</v>
      </c>
    </row>
    <row r="5" spans="1:5" x14ac:dyDescent="0.25">
      <c r="A5" t="s">
        <v>10</v>
      </c>
      <c r="B5" t="s">
        <v>10</v>
      </c>
      <c r="C5">
        <v>6</v>
      </c>
      <c r="D5" t="s">
        <v>80</v>
      </c>
      <c r="E5" t="s">
        <v>79</v>
      </c>
    </row>
    <row r="6" spans="1:5" x14ac:dyDescent="0.25">
      <c r="A6" t="s">
        <v>11</v>
      </c>
      <c r="B6" t="s">
        <v>11</v>
      </c>
      <c r="C6">
        <v>10</v>
      </c>
      <c r="D6" t="s">
        <v>83</v>
      </c>
      <c r="E6" t="s">
        <v>79</v>
      </c>
    </row>
    <row r="7" spans="1:5" x14ac:dyDescent="0.25">
      <c r="A7" t="s">
        <v>12</v>
      </c>
      <c r="B7" t="s">
        <v>12</v>
      </c>
      <c r="C7">
        <v>15</v>
      </c>
      <c r="D7" t="s">
        <v>83</v>
      </c>
      <c r="E7" t="s">
        <v>79</v>
      </c>
    </row>
    <row r="8" spans="1:5" x14ac:dyDescent="0.25">
      <c r="A8" t="s">
        <v>13</v>
      </c>
      <c r="B8" t="s">
        <v>13</v>
      </c>
      <c r="C8">
        <v>10</v>
      </c>
      <c r="D8" t="s">
        <v>81</v>
      </c>
      <c r="E8" t="s">
        <v>82</v>
      </c>
    </row>
    <row r="9" spans="1:5" x14ac:dyDescent="0.25">
      <c r="A9" t="s">
        <v>14</v>
      </c>
      <c r="B9" t="s">
        <v>14</v>
      </c>
      <c r="C9">
        <v>10</v>
      </c>
      <c r="D9" t="s">
        <v>81</v>
      </c>
      <c r="E9" t="s">
        <v>82</v>
      </c>
    </row>
    <row r="10" spans="1:5" x14ac:dyDescent="0.25">
      <c r="A10" t="s">
        <v>15</v>
      </c>
      <c r="B10" t="s">
        <v>15</v>
      </c>
      <c r="C10">
        <v>10</v>
      </c>
      <c r="D10" t="s">
        <v>80</v>
      </c>
      <c r="E10" t="s">
        <v>79</v>
      </c>
    </row>
    <row r="11" spans="1:5" x14ac:dyDescent="0.25">
      <c r="A11" t="s">
        <v>16</v>
      </c>
      <c r="B11" t="s">
        <v>16</v>
      </c>
      <c r="C11">
        <v>15</v>
      </c>
      <c r="D11" t="s">
        <v>81</v>
      </c>
      <c r="E11" t="s">
        <v>82</v>
      </c>
    </row>
    <row r="12" spans="1:5" x14ac:dyDescent="0.25">
      <c r="A12" t="s">
        <v>17</v>
      </c>
      <c r="B12" t="s">
        <v>17</v>
      </c>
      <c r="C12">
        <v>15</v>
      </c>
      <c r="D12" t="s">
        <v>81</v>
      </c>
      <c r="E1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Sayfa1</vt:lpstr>
      <vt:lpstr>Sayfa2</vt:lpstr>
      <vt:lpstr>Sayfa1!Query_from_ModelSql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ARSLAN MOBİLYA</dc:creator>
  <cp:lastModifiedBy>ARSLAN MOBİLYA</cp:lastModifiedBy>
  <dcterms:created xsi:type="dcterms:W3CDTF">2026-10-18T20:06:00Z</dcterms:created>
  <dcterms:modified xsi:type="dcterms:W3CDTF">2026-10-18T20:07:37Z</dcterms:modified>
</cp:coreProperties>
</file>